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'Sheet1'!$A$1:$R$33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"/>
    <numFmt numFmtId="166" formatCode="_-* #,##0\ _л_в_-;\-* #,##0\ _л_в_-;_-* &quot;-&quot;??\ _л_в_-;_-@_-"/>
    <numFmt numFmtId="167" formatCode="_-* #,##0.00\ _л_в_-;\-* #,##0.00\ _л_в_-;_-* &quot;-&quot;??\ _л_в_-;_-@_-"/>
  </numFmts>
  <fonts count="13">
    <font>
      <name val="Arial"/>
      <charset val="204"/>
      <sz val="10"/>
    </font>
    <font>
      <name val="Arial"/>
      <charset val="204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charset val="204"/>
      <family val="2"/>
      <sz val="12"/>
    </font>
    <font>
      <name val="Arial"/>
      <charset val="204"/>
      <family val="2"/>
      <sz val="8"/>
    </font>
    <font>
      <name val="Arial"/>
      <charset val="204"/>
      <family val="2"/>
      <color indexed="10"/>
      <sz val="8"/>
    </font>
    <font>
      <name val="Arial"/>
      <family val="2"/>
      <b val="1"/>
      <sz val="8"/>
    </font>
    <font>
      <name val="Arial"/>
      <family val="2"/>
      <sz val="8"/>
    </font>
    <font>
      <name val="Symbol"/>
      <charset val="2"/>
      <family val="1"/>
      <sz val="8"/>
    </font>
    <font>
      <name val="Arial"/>
      <charset val="204"/>
      <family val="2"/>
      <b val="1"/>
      <sz val="8"/>
    </font>
    <font>
      <name val="Arial"/>
      <charset val="204"/>
      <family val="2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7" fontId="1" fillId="0" borderId="0"/>
  </cellStyleXfs>
  <cellXfs count="83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2" pivotButton="0" quotePrefix="0" xfId="0"/>
    <xf numFmtId="0" fontId="5" fillId="0" borderId="2" pivotButton="0" quotePrefix="0" xfId="0"/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5" pivotButton="0" quotePrefix="0" xfId="0"/>
    <xf numFmtId="0" fontId="7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right"/>
    </xf>
    <xf numFmtId="0" fontId="5" fillId="0" borderId="1" pivotButton="0" quotePrefix="0" xfId="0"/>
    <xf numFmtId="1" fontId="5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165" fontId="5" fillId="0" borderId="1" pivotButton="0" quotePrefix="0" xfId="0"/>
    <xf numFmtId="164" fontId="5" fillId="0" borderId="1" pivotButton="0" quotePrefix="0" xfId="0"/>
    <xf numFmtId="2" fontId="8" fillId="0" borderId="1" pivotButton="0" quotePrefix="0" xfId="0"/>
    <xf numFmtId="0" fontId="9" fillId="0" borderId="0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0" fontId="5" fillId="0" borderId="6" pivotButton="0" quotePrefix="0" xfId="0"/>
    <xf numFmtId="0" fontId="5" fillId="0" borderId="6" pivotButton="0" quotePrefix="0" xfId="0"/>
    <xf numFmtId="1" fontId="5" fillId="0" borderId="6" pivotButton="0" quotePrefix="0" xfId="0"/>
    <xf numFmtId="1" fontId="5" fillId="0" borderId="4" pivotButton="0" quotePrefix="0" xfId="0"/>
    <xf numFmtId="164" fontId="5" fillId="0" borderId="7" pivotButton="0" quotePrefix="0" xfId="0"/>
    <xf numFmtId="164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" fontId="5" fillId="0" borderId="0" applyAlignment="1" pivotButton="0" quotePrefix="0" xfId="0">
      <alignment horizontal="left"/>
    </xf>
    <xf numFmtId="0" fontId="5" fillId="0" borderId="0" applyAlignment="1" pivotButton="0" quotePrefix="0" xfId="1">
      <alignment horizontal="left"/>
    </xf>
    <xf numFmtId="0" fontId="5" fillId="0" borderId="0" applyAlignment="1" pivotButton="0" quotePrefix="0" xfId="0">
      <alignment horizontal="right"/>
    </xf>
    <xf numFmtId="166" fontId="5" fillId="0" borderId="0" applyAlignment="1" pivotButton="0" quotePrefix="0" xfId="1">
      <alignment horizontal="center"/>
    </xf>
    <xf numFmtId="0" fontId="10" fillId="0" borderId="1" applyAlignment="1" pivotButton="0" quotePrefix="0" xfId="0">
      <alignment horizontal="center"/>
    </xf>
    <xf numFmtId="164" fontId="10" fillId="0" borderId="1" pivotButton="0" quotePrefix="0" xfId="0"/>
    <xf numFmtId="1" fontId="5" fillId="0" borderId="0" applyAlignment="1" pivotButton="0" quotePrefix="0" xfId="1">
      <alignment horizontal="left"/>
    </xf>
    <xf numFmtId="166" fontId="5" fillId="0" borderId="0" pivotButton="0" quotePrefix="0" xfId="1"/>
    <xf numFmtId="0" fontId="11" fillId="0" borderId="0" pivotButton="0" quotePrefix="0" xfId="0"/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12" fillId="2" borderId="1" pivotButton="0" quotePrefix="0" xfId="0"/>
    <xf numFmtId="164" fontId="0" fillId="0" borderId="0" pivotButton="0" quotePrefix="0" xfId="0"/>
    <xf numFmtId="165" fontId="5" fillId="0" borderId="1" pivotButton="0" quotePrefix="0" xfId="0"/>
    <xf numFmtId="164" fontId="5" fillId="0" borderId="1" pivotButton="0" quotePrefix="0" xfId="0"/>
    <xf numFmtId="0" fontId="12" fillId="2" borderId="0" pivotButton="0" quotePrefix="0" xfId="0"/>
    <xf numFmtId="164" fontId="5" fillId="0" borderId="7" pivotButton="0" quotePrefix="0" xfId="0"/>
    <xf numFmtId="164" fontId="5" fillId="0" borderId="0" pivotButton="0" quotePrefix="0" xfId="0"/>
    <xf numFmtId="166" fontId="5" fillId="0" borderId="0" pivotButton="0" quotePrefix="0" xfId="1"/>
    <xf numFmtId="166" fontId="5" fillId="0" borderId="0" applyAlignment="1" pivotButton="0" quotePrefix="0" xfId="1">
      <alignment horizontal="center"/>
    </xf>
    <xf numFmtId="164" fontId="10" fillId="0" borderId="1" pivotButton="0" quotePrefix="0" xfId="0"/>
    <xf numFmtId="164" fontId="3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tabSelected="1" zoomScale="85" zoomScaleNormal="100" zoomScaleSheetLayoutView="100" workbookViewId="0">
      <selection activeCell="L35" sqref="L35"/>
    </sheetView>
  </sheetViews>
  <sheetFormatPr baseColWidth="8" defaultRowHeight="12.75"/>
  <cols>
    <col width="8.7109375" customWidth="1" style="4" min="1" max="1"/>
    <col width="8.7109375" bestFit="1" customWidth="1" style="4" min="2" max="2"/>
    <col width="9.42578125" customWidth="1" style="4" min="3" max="3"/>
    <col width="7.42578125" bestFit="1" customWidth="1" style="4" min="4" max="6"/>
    <col width="8.42578125" customWidth="1" style="4" min="7" max="7"/>
    <col width="9" customWidth="1" style="4" min="8" max="8"/>
    <col width="9.85546875" customWidth="1" style="4" min="9" max="9"/>
    <col width="7.42578125" bestFit="1" customWidth="1" style="4" min="10" max="10"/>
    <col width="7" bestFit="1" customWidth="1" style="4" min="11" max="12"/>
    <col width="7.85546875" bestFit="1" customWidth="1" style="4" min="13" max="15"/>
    <col width="9.28515625" bestFit="1" customWidth="1" style="4" min="16" max="16"/>
    <col width="7.85546875" bestFit="1" customWidth="1" style="4" min="17" max="17"/>
    <col width="8.140625" bestFit="1" customWidth="1" style="4" min="18" max="18"/>
    <col width="13.85546875" bestFit="1" customWidth="1" style="4" min="19" max="19"/>
    <col width="9.28515625" bestFit="1" customWidth="1" style="4" min="20" max="20"/>
  </cols>
  <sheetData>
    <row r="1" ht="15" customHeight="1" s="4">
      <c r="A1" t="inlineStr">
        <is>
          <t>^</t>
        </is>
      </c>
      <c r="G1" s="8" t="inlineStr">
        <is>
          <t>Карнет за нивелация  -  яз.""  корона - 13.10.2016год.</t>
        </is>
      </c>
    </row>
    <row r="2">
      <c r="I2" s="56" t="inlineStr">
        <is>
          <t>КВН=172.30</t>
        </is>
      </c>
    </row>
    <row r="3">
      <c r="A3" s="27" t="inlineStr">
        <is>
          <t>ход 1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50" t="n"/>
      <c r="L3" s="13" t="n"/>
      <c r="M3" s="14" t="n"/>
      <c r="N3" s="43" t="n"/>
      <c r="O3" s="43" t="n"/>
      <c r="P3" s="43" t="n"/>
      <c r="Q3" s="43" t="n"/>
      <c r="R3" s="43" t="n"/>
    </row>
    <row r="4">
      <c r="A4" s="15" t="inlineStr">
        <is>
          <t>№ на</t>
        </is>
      </c>
      <c r="B4" s="15" t="inlineStr">
        <is>
          <t>хориз.</t>
        </is>
      </c>
      <c r="C4" s="16" t="inlineStr">
        <is>
          <t>В И З У Р И</t>
        </is>
      </c>
      <c r="D4" s="68" t="n"/>
      <c r="E4" s="68" t="n"/>
      <c r="F4" s="68" t="n"/>
      <c r="G4" s="68" t="n"/>
      <c r="H4" s="68" t="n"/>
      <c r="I4" s="68" t="n"/>
      <c r="J4" s="69" t="n"/>
      <c r="K4" s="15" t="inlineStr">
        <is>
          <t>средно двойно</t>
        </is>
      </c>
      <c r="L4" s="70" t="n"/>
      <c r="M4" s="15" t="inlineStr">
        <is>
          <t>действително</t>
        </is>
      </c>
      <c r="N4" s="70" t="n"/>
      <c r="O4" s="17" t="inlineStr">
        <is>
          <t>поправка</t>
        </is>
      </c>
      <c r="P4" s="19" t="inlineStr">
        <is>
          <t xml:space="preserve">поправено </t>
        </is>
      </c>
      <c r="Q4" s="19" t="n"/>
      <c r="R4" s="15" t="inlineStr">
        <is>
          <t>№ на</t>
        </is>
      </c>
    </row>
    <row r="5">
      <c r="A5" s="20" t="inlineStr">
        <is>
          <t>репер</t>
        </is>
      </c>
      <c r="B5" s="23" t="inlineStr">
        <is>
          <t>разст.</t>
        </is>
      </c>
      <c r="C5" s="16" t="inlineStr">
        <is>
          <t>І лата</t>
        </is>
      </c>
      <c r="D5" s="69" t="n"/>
      <c r="E5" s="16" t="inlineStr">
        <is>
          <t>превишение</t>
        </is>
      </c>
      <c r="F5" s="69" t="n"/>
      <c r="G5" s="16" t="inlineStr">
        <is>
          <t>ІІ лата</t>
        </is>
      </c>
      <c r="H5" s="69" t="n"/>
      <c r="I5" s="16" t="inlineStr">
        <is>
          <t>превишение</t>
        </is>
      </c>
      <c r="J5" s="69" t="n"/>
      <c r="K5" s="23" t="inlineStr">
        <is>
          <t>превишение</t>
        </is>
      </c>
      <c r="L5" s="71" t="n"/>
      <c r="M5" s="23" t="inlineStr">
        <is>
          <t>превишение</t>
        </is>
      </c>
      <c r="N5" s="71" t="n"/>
      <c r="O5" s="43" t="n"/>
      <c r="P5" s="23" t="inlineStr">
        <is>
          <t>превиш.</t>
        </is>
      </c>
      <c r="Q5" s="20" t="inlineStr">
        <is>
          <t>КОТИ</t>
        </is>
      </c>
      <c r="R5" s="20" t="inlineStr">
        <is>
          <t>репер</t>
        </is>
      </c>
    </row>
    <row r="6">
      <c r="A6" s="23" t="inlineStr">
        <is>
          <t>или точка</t>
        </is>
      </c>
      <c r="B6" s="22" t="inlineStr">
        <is>
          <t>м</t>
        </is>
      </c>
      <c r="C6" s="16" t="inlineStr">
        <is>
          <t>назад</t>
        </is>
      </c>
      <c r="D6" s="16" t="inlineStr">
        <is>
          <t>напред</t>
        </is>
      </c>
      <c r="E6" s="16" t="inlineStr">
        <is>
          <t>+</t>
        </is>
      </c>
      <c r="F6" s="16" t="inlineStr">
        <is>
          <t>-</t>
        </is>
      </c>
      <c r="G6" s="16" t="inlineStr">
        <is>
          <t>назад</t>
        </is>
      </c>
      <c r="H6" s="16" t="inlineStr">
        <is>
          <t>напред</t>
        </is>
      </c>
      <c r="I6" s="16" t="inlineStr">
        <is>
          <t>+</t>
        </is>
      </c>
      <c r="J6" s="16" t="inlineStr">
        <is>
          <t>-</t>
        </is>
      </c>
      <c r="K6" s="23" t="inlineStr">
        <is>
          <t>+</t>
        </is>
      </c>
      <c r="L6" s="23" t="inlineStr">
        <is>
          <t>-</t>
        </is>
      </c>
      <c r="M6" s="23" t="inlineStr">
        <is>
          <t>+</t>
        </is>
      </c>
      <c r="N6" s="23" t="inlineStr">
        <is>
          <t>-</t>
        </is>
      </c>
      <c r="O6" s="16" t="inlineStr">
        <is>
          <t>(+/-)</t>
        </is>
      </c>
      <c r="P6" s="16" t="inlineStr">
        <is>
          <t>(+/-)</t>
        </is>
      </c>
      <c r="Q6" s="24" t="n"/>
      <c r="R6" s="23" t="inlineStr">
        <is>
          <t>или точка</t>
        </is>
      </c>
    </row>
    <row r="7">
      <c r="A7" s="25" t="inlineStr">
        <is>
          <t>PP2</t>
        </is>
      </c>
      <c r="B7" s="26" t="n"/>
      <c r="C7" s="72" t="n">
        <v>130747</v>
      </c>
      <c r="D7" s="72" t="n"/>
      <c r="E7" s="27" t="n"/>
      <c r="F7" s="27" t="n"/>
      <c r="G7" s="72" t="n">
        <v>737247</v>
      </c>
      <c r="H7" s="72" t="n"/>
      <c r="I7" s="27" t="n"/>
      <c r="J7" s="27" t="n"/>
      <c r="K7" s="27" t="n"/>
      <c r="L7" s="27" t="n"/>
      <c r="M7" s="27" t="n"/>
      <c r="N7" s="27" t="n"/>
      <c r="O7" s="28" t="n"/>
      <c r="P7" s="27" t="n"/>
      <c r="Q7" s="29" t="n">
        <v>50.78327</v>
      </c>
      <c r="R7" s="16" t="inlineStr">
        <is>
          <t>PP2</t>
        </is>
      </c>
      <c r="S7" s="73" t="n"/>
    </row>
    <row r="8">
      <c r="A8" s="30" t="n">
        <v>7</v>
      </c>
      <c r="B8" s="26" t="n">
        <v>32</v>
      </c>
      <c r="C8" s="72" t="n">
        <v>319271</v>
      </c>
      <c r="D8" s="72" t="n">
        <v>573902</v>
      </c>
      <c r="E8" s="27" t="n"/>
      <c r="F8" s="27">
        <f>D8-C7</f>
        <v/>
      </c>
      <c r="G8" s="72" t="n">
        <v>925761</v>
      </c>
      <c r="H8" s="72" t="n">
        <v>1180396</v>
      </c>
      <c r="I8" s="27" t="n"/>
      <c r="J8" s="27">
        <f>H8-G7</f>
        <v/>
      </c>
      <c r="K8" s="27" t="n"/>
      <c r="L8" s="27">
        <f>(F8+J8)/2</f>
        <v/>
      </c>
      <c r="M8" s="28" t="n"/>
      <c r="N8" s="28">
        <f>L8/2</f>
        <v/>
      </c>
      <c r="O8" s="74">
        <f>$Q$24/14</f>
        <v/>
      </c>
      <c r="P8" s="28">
        <f>M8-N8+O8</f>
        <v/>
      </c>
      <c r="Q8" s="75">
        <f>Q7+P8/100000</f>
        <v/>
      </c>
      <c r="R8" s="16">
        <f>A8</f>
        <v/>
      </c>
      <c r="T8" s="73" t="n"/>
    </row>
    <row r="9">
      <c r="A9" s="30" t="n">
        <v>6</v>
      </c>
      <c r="B9" s="26" t="n">
        <v>25</v>
      </c>
      <c r="C9" s="72" t="n">
        <v>284524</v>
      </c>
      <c r="D9" s="72" t="n">
        <v>311054</v>
      </c>
      <c r="E9" s="27">
        <f>C8-D9</f>
        <v/>
      </c>
      <c r="F9" s="27" t="n"/>
      <c r="G9" s="72" t="n">
        <v>891042</v>
      </c>
      <c r="H9" s="72" t="n">
        <v>917554</v>
      </c>
      <c r="I9" s="27">
        <f>G8-H9</f>
        <v/>
      </c>
      <c r="J9" s="27" t="n"/>
      <c r="K9" s="27">
        <f>(E9+I9)/2</f>
        <v/>
      </c>
      <c r="L9" s="27" t="n"/>
      <c r="M9" s="28">
        <f>K9/2</f>
        <v/>
      </c>
      <c r="N9" s="28" t="n"/>
      <c r="O9" s="74">
        <f>$Q$24/14</f>
        <v/>
      </c>
      <c r="P9" s="28">
        <f>M9-N9+O9</f>
        <v/>
      </c>
      <c r="Q9" s="75">
        <f>Q8+P9/100000</f>
        <v/>
      </c>
      <c r="R9" s="16">
        <f>A9</f>
        <v/>
      </c>
      <c r="T9" s="73" t="n"/>
    </row>
    <row r="10">
      <c r="A10" s="30" t="n">
        <v>5</v>
      </c>
      <c r="B10" s="26" t="n">
        <v>24</v>
      </c>
      <c r="C10" s="72" t="n">
        <v>308943</v>
      </c>
      <c r="D10" s="72" t="n">
        <v>312438</v>
      </c>
      <c r="E10" s="27" t="n"/>
      <c r="F10" s="27">
        <f>D10-C9</f>
        <v/>
      </c>
      <c r="G10" s="72" t="n">
        <v>915463</v>
      </c>
      <c r="H10" s="72" t="n">
        <v>918932</v>
      </c>
      <c r="I10" s="27" t="n"/>
      <c r="J10" s="27">
        <f>H10-G9</f>
        <v/>
      </c>
      <c r="K10" s="27" t="n"/>
      <c r="L10" s="27">
        <f>(F10+J10)/2</f>
        <v/>
      </c>
      <c r="M10" s="28" t="n"/>
      <c r="N10" s="28">
        <f>L10/2</f>
        <v/>
      </c>
      <c r="O10" s="74">
        <f>$Q$24/14</f>
        <v/>
      </c>
      <c r="P10" s="28">
        <f>M10-N10+O10</f>
        <v/>
      </c>
      <c r="Q10" s="75">
        <f>Q9+P10/100000</f>
        <v/>
      </c>
      <c r="R10" s="16">
        <f>A10</f>
        <v/>
      </c>
      <c r="T10" s="73" t="n"/>
    </row>
    <row r="11">
      <c r="A11" s="30" t="n">
        <v>4</v>
      </c>
      <c r="B11" s="26" t="n">
        <v>24</v>
      </c>
      <c r="C11" s="72" t="n">
        <v>310660</v>
      </c>
      <c r="D11" s="72" t="n">
        <v>321731</v>
      </c>
      <c r="E11" s="27">
        <f>C10-D11</f>
        <v/>
      </c>
      <c r="F11" s="27" t="n"/>
      <c r="G11" s="72" t="n">
        <v>917175</v>
      </c>
      <c r="H11" s="72" t="n">
        <v>928231</v>
      </c>
      <c r="I11" s="27">
        <f>G10-H11</f>
        <v/>
      </c>
      <c r="J11" s="27" t="n"/>
      <c r="K11" s="27">
        <f>(E11+I11)/2</f>
        <v/>
      </c>
      <c r="L11" s="27" t="n"/>
      <c r="M11" s="28">
        <f>K11/2</f>
        <v/>
      </c>
      <c r="N11" s="28" t="n"/>
      <c r="O11" s="74">
        <f>$Q$24/14</f>
        <v/>
      </c>
      <c r="P11" s="28">
        <f>M11-N11+O11</f>
        <v/>
      </c>
      <c r="Q11" s="75">
        <f>Q10+P11/100000</f>
        <v/>
      </c>
      <c r="R11" s="16">
        <f>A11</f>
        <v/>
      </c>
      <c r="T11" s="73" t="n"/>
    </row>
    <row r="12">
      <c r="A12" s="30" t="n">
        <v>3</v>
      </c>
      <c r="B12" s="26" t="n">
        <v>24</v>
      </c>
      <c r="C12" s="72" t="n">
        <v>302722</v>
      </c>
      <c r="D12" s="72" t="n">
        <v>312328</v>
      </c>
      <c r="E12" s="27" t="n"/>
      <c r="F12" s="27">
        <f>D12-C11</f>
        <v/>
      </c>
      <c r="G12" s="72" t="n">
        <v>909212</v>
      </c>
      <c r="H12" s="72" t="n">
        <v>918828</v>
      </c>
      <c r="I12" s="27" t="n"/>
      <c r="J12" s="27">
        <f>H12-G11</f>
        <v/>
      </c>
      <c r="K12" s="27" t="n"/>
      <c r="L12" s="27">
        <f>(F12+J12)/2</f>
        <v/>
      </c>
      <c r="M12" s="28" t="n"/>
      <c r="N12" s="28">
        <f>L12/2</f>
        <v/>
      </c>
      <c r="O12" s="74">
        <f>$Q$24/14</f>
        <v/>
      </c>
      <c r="P12" s="28">
        <f>M12-N12+O12</f>
        <v/>
      </c>
      <c r="Q12" s="75">
        <f>Q11+P12/100000</f>
        <v/>
      </c>
      <c r="R12" s="16">
        <f>A12</f>
        <v/>
      </c>
      <c r="T12" s="73" t="n"/>
    </row>
    <row r="13">
      <c r="A13" s="30" t="n">
        <v>2</v>
      </c>
      <c r="B13" s="26" t="n">
        <v>24</v>
      </c>
      <c r="C13" s="72" t="n">
        <v>355573</v>
      </c>
      <c r="D13" s="72" t="n">
        <v>327083</v>
      </c>
      <c r="E13" s="27">
        <f>C12-D13</f>
        <v/>
      </c>
      <c r="F13" s="27" t="n"/>
      <c r="G13" s="72" t="n">
        <v>962064</v>
      </c>
      <c r="H13" s="72" t="n">
        <v>933573</v>
      </c>
      <c r="I13" s="27">
        <f>G12-H13</f>
        <v/>
      </c>
      <c r="J13" s="27" t="n"/>
      <c r="K13" s="27">
        <f>(E13+I13)/2</f>
        <v/>
      </c>
      <c r="L13" s="27" t="n"/>
      <c r="M13" s="28">
        <f>K13/2</f>
        <v/>
      </c>
      <c r="N13" s="28" t="n"/>
      <c r="O13" s="74">
        <f>$Q$24/14</f>
        <v/>
      </c>
      <c r="P13" s="28">
        <f>M13-N13+O13</f>
        <v/>
      </c>
      <c r="Q13" s="75">
        <f>Q12+P13/100000</f>
        <v/>
      </c>
      <c r="R13" s="16">
        <f>A13</f>
        <v/>
      </c>
      <c r="T13" s="73" t="n"/>
    </row>
    <row r="14">
      <c r="A14" s="25" t="inlineStr">
        <is>
          <t>PP1</t>
        </is>
      </c>
      <c r="B14" s="26" t="n">
        <v>37</v>
      </c>
      <c r="C14" s="72" t="n">
        <v>11122</v>
      </c>
      <c r="D14" s="72" t="n">
        <v>11652</v>
      </c>
      <c r="E14" s="27" t="n"/>
      <c r="F14" s="27">
        <f>D14-C13</f>
        <v/>
      </c>
      <c r="G14" s="72" t="n">
        <v>617612</v>
      </c>
      <c r="H14" s="72" t="n">
        <v>618162</v>
      </c>
      <c r="I14" s="27" t="n"/>
      <c r="J14" s="27">
        <f>H14-G13</f>
        <v/>
      </c>
      <c r="K14" s="27" t="n"/>
      <c r="L14" s="27">
        <f>(F14+J14)/2</f>
        <v/>
      </c>
      <c r="M14" s="28" t="n"/>
      <c r="N14" s="28">
        <f>L14/2</f>
        <v/>
      </c>
      <c r="O14" s="74">
        <f>$Q$24/14</f>
        <v/>
      </c>
      <c r="P14" s="28">
        <f>M14-N14+O14</f>
        <v/>
      </c>
      <c r="Q14" s="75">
        <f>Q13+P14/100000</f>
        <v/>
      </c>
      <c r="R14" s="16">
        <f>A14</f>
        <v/>
      </c>
    </row>
    <row r="15">
      <c r="A15" s="30" t="n">
        <v>2</v>
      </c>
      <c r="B15" s="33" t="n">
        <v>24</v>
      </c>
      <c r="C15" s="72" t="n">
        <v>327187</v>
      </c>
      <c r="D15" s="72" t="n">
        <v>355048</v>
      </c>
      <c r="E15" s="27">
        <f>C14-D15</f>
        <v/>
      </c>
      <c r="F15" s="27" t="n"/>
      <c r="G15" s="72" t="n">
        <v>933670</v>
      </c>
      <c r="H15" s="72" t="n">
        <v>961545</v>
      </c>
      <c r="I15" s="27">
        <f>G14-H15</f>
        <v/>
      </c>
      <c r="J15" s="27" t="n"/>
      <c r="K15" s="27">
        <f>(E15+I15)/2</f>
        <v/>
      </c>
      <c r="L15" s="27" t="n"/>
      <c r="M15" s="28">
        <f>K15/2</f>
        <v/>
      </c>
      <c r="N15" s="28" t="n"/>
      <c r="O15" s="74">
        <f>$Q$24/14</f>
        <v/>
      </c>
      <c r="P15" s="28">
        <f>M15-N15+O15</f>
        <v/>
      </c>
      <c r="Q15" s="75">
        <f>Q14+P15/100000</f>
        <v/>
      </c>
      <c r="R15" s="16">
        <f>A15</f>
        <v/>
      </c>
    </row>
    <row r="16">
      <c r="A16" s="30" t="n">
        <v>3</v>
      </c>
      <c r="B16" s="26">
        <f>24</f>
        <v/>
      </c>
      <c r="C16" s="72" t="n">
        <v>306051</v>
      </c>
      <c r="D16" s="72" t="n">
        <v>302817</v>
      </c>
      <c r="E16" s="27" t="n"/>
      <c r="F16" s="27">
        <f>D16-C15</f>
        <v/>
      </c>
      <c r="G16" s="72" t="n">
        <v>912544</v>
      </c>
      <c r="H16" s="72" t="n">
        <v>909323</v>
      </c>
      <c r="I16" s="27" t="n"/>
      <c r="J16" s="27">
        <f>H16-G15</f>
        <v/>
      </c>
      <c r="K16" s="27" t="n"/>
      <c r="L16" s="27">
        <f>(F16+J16)/2</f>
        <v/>
      </c>
      <c r="M16" s="28" t="n"/>
      <c r="N16" s="28">
        <f>L16/2</f>
        <v/>
      </c>
      <c r="O16" s="74">
        <f>$Q$24/14</f>
        <v/>
      </c>
      <c r="P16" s="28">
        <f>M16-N16+O16</f>
        <v/>
      </c>
      <c r="Q16" s="75">
        <f>Q15+P16/100000</f>
        <v/>
      </c>
      <c r="R16" s="16">
        <f>A16</f>
        <v/>
      </c>
      <c r="S16" s="73" t="n"/>
      <c r="V16" s="73" t="n"/>
    </row>
    <row r="17">
      <c r="A17" s="30" t="n">
        <v>4</v>
      </c>
      <c r="B17" s="26">
        <f>24</f>
        <v/>
      </c>
      <c r="C17" s="72" t="n">
        <v>323370</v>
      </c>
      <c r="D17" s="72" t="n">
        <v>304352</v>
      </c>
      <c r="E17" s="27">
        <f>C16-D17</f>
        <v/>
      </c>
      <c r="F17" s="27" t="n"/>
      <c r="G17" s="72" t="n">
        <v>929863</v>
      </c>
      <c r="H17" s="72" t="n">
        <v>910842</v>
      </c>
      <c r="I17" s="27">
        <f>G16-H17</f>
        <v/>
      </c>
      <c r="J17" s="27" t="n"/>
      <c r="K17" s="27">
        <f>(E17+I17)/2</f>
        <v/>
      </c>
      <c r="L17" s="27" t="n"/>
      <c r="M17" s="28">
        <f>K17/2</f>
        <v/>
      </c>
      <c r="N17" s="28" t="n"/>
      <c r="O17" s="74">
        <f>$Q$24/14</f>
        <v/>
      </c>
      <c r="P17" s="28">
        <f>M17-N17+O17</f>
        <v/>
      </c>
      <c r="Q17" s="75">
        <f>Q16+P17/100000</f>
        <v/>
      </c>
      <c r="R17" s="16">
        <f>A17</f>
        <v/>
      </c>
      <c r="V17" s="73" t="n"/>
    </row>
    <row r="18">
      <c r="A18" s="30" t="n">
        <v>5</v>
      </c>
      <c r="B18" s="26">
        <f>24</f>
        <v/>
      </c>
      <c r="C18" s="72" t="n">
        <v>325402</v>
      </c>
      <c r="D18" s="72" t="n">
        <v>310592</v>
      </c>
      <c r="E18" s="27" t="n"/>
      <c r="F18" s="27">
        <f>D18-C17</f>
        <v/>
      </c>
      <c r="G18" s="72" t="n">
        <v>931903</v>
      </c>
      <c r="H18" s="72" t="n">
        <v>917087</v>
      </c>
      <c r="I18" s="27" t="n"/>
      <c r="J18" s="27">
        <f>H18-G17</f>
        <v/>
      </c>
      <c r="K18" s="27" t="n"/>
      <c r="L18" s="27">
        <f>(F18+J18)/2</f>
        <v/>
      </c>
      <c r="M18" s="28" t="n"/>
      <c r="N18" s="28">
        <f>L18/2</f>
        <v/>
      </c>
      <c r="O18" s="74">
        <f>$Q$24/14</f>
        <v/>
      </c>
      <c r="P18" s="28">
        <f>M18-N18+O18</f>
        <v/>
      </c>
      <c r="Q18" s="75">
        <f>Q17+P18/100000</f>
        <v/>
      </c>
      <c r="R18" s="16">
        <f>A18</f>
        <v/>
      </c>
      <c r="S18" s="73" t="n"/>
      <c r="V18" s="73" t="n"/>
    </row>
    <row r="19">
      <c r="A19" s="30" t="n">
        <v>6</v>
      </c>
      <c r="B19" s="26">
        <f>24</f>
        <v/>
      </c>
      <c r="C19" s="72" t="n">
        <v>324450</v>
      </c>
      <c r="D19" s="72" t="n">
        <v>297529</v>
      </c>
      <c r="E19" s="27">
        <f>C18-D19</f>
        <v/>
      </c>
      <c r="F19" s="27" t="n"/>
      <c r="G19" s="72" t="n">
        <v>930950</v>
      </c>
      <c r="H19" s="72" t="n">
        <v>904038</v>
      </c>
      <c r="I19" s="27">
        <f>G18-H19</f>
        <v/>
      </c>
      <c r="J19" s="27" t="n"/>
      <c r="K19" s="27">
        <f>(E19+I19)/2</f>
        <v/>
      </c>
      <c r="L19" s="27" t="n"/>
      <c r="M19" s="28">
        <f>K19/2</f>
        <v/>
      </c>
      <c r="N19" s="28" t="n"/>
      <c r="O19" s="74">
        <f>$Q$24/14</f>
        <v/>
      </c>
      <c r="P19" s="28">
        <f>M19-N19+O19</f>
        <v/>
      </c>
      <c r="Q19" s="75">
        <f>Q18+P19/100000</f>
        <v/>
      </c>
      <c r="R19" s="16">
        <f>A19</f>
        <v/>
      </c>
      <c r="S19" s="73" t="n"/>
      <c r="V19" s="73" t="n"/>
    </row>
    <row r="20">
      <c r="A20" s="30" t="n">
        <v>7</v>
      </c>
      <c r="B20" s="26">
        <f>25</f>
        <v/>
      </c>
      <c r="C20" s="72" t="n">
        <v>566222</v>
      </c>
      <c r="D20" s="72" t="n">
        <v>332635</v>
      </c>
      <c r="E20" s="27" t="n"/>
      <c r="F20" s="27">
        <f>D20-C19</f>
        <v/>
      </c>
      <c r="G20" s="72" t="n">
        <v>1172718</v>
      </c>
      <c r="H20" s="72" t="n">
        <v>939145</v>
      </c>
      <c r="I20" s="27" t="n"/>
      <c r="J20" s="27">
        <f>H20-G19</f>
        <v/>
      </c>
      <c r="K20" s="27" t="n"/>
      <c r="L20" s="27">
        <f>(F20+J20)/2</f>
        <v/>
      </c>
      <c r="M20" s="28" t="n"/>
      <c r="N20" s="28">
        <f>L20/2</f>
        <v/>
      </c>
      <c r="O20" s="74">
        <f>$Q$24/14</f>
        <v/>
      </c>
      <c r="P20" s="28">
        <f>M20-N20+O20</f>
        <v/>
      </c>
      <c r="Q20" s="75">
        <f>Q19+P20/100000</f>
        <v/>
      </c>
      <c r="R20" s="16">
        <f>A20</f>
        <v/>
      </c>
      <c r="S20" s="73" t="n"/>
      <c r="V20" s="73" t="n"/>
    </row>
    <row r="21">
      <c r="A21" s="25" t="inlineStr">
        <is>
          <t>PP2</t>
        </is>
      </c>
      <c r="B21" s="26" t="n">
        <v>32</v>
      </c>
      <c r="C21" s="72" t="n"/>
      <c r="D21" s="72" t="n">
        <v>123072</v>
      </c>
      <c r="E21" s="27">
        <f>C20-D21</f>
        <v/>
      </c>
      <c r="F21" s="27" t="n"/>
      <c r="G21" s="76" t="n"/>
      <c r="H21" s="72" t="n">
        <v>729570</v>
      </c>
      <c r="I21" s="27">
        <f>G20-H21</f>
        <v/>
      </c>
      <c r="J21" s="27" t="n"/>
      <c r="K21" s="27">
        <f>(E21+I21)/2</f>
        <v/>
      </c>
      <c r="L21" s="27" t="n"/>
      <c r="M21" s="28">
        <f>K21/2</f>
        <v/>
      </c>
      <c r="N21" s="28" t="n"/>
      <c r="O21" s="74">
        <f>$Q$24/14</f>
        <v/>
      </c>
      <c r="P21" s="28">
        <f>M21-N21+O21</f>
        <v/>
      </c>
      <c r="Q21" s="75">
        <f>Q20+P21/100000</f>
        <v/>
      </c>
      <c r="R21" s="16">
        <f>A21</f>
        <v/>
      </c>
      <c r="S21" s="73" t="n"/>
      <c r="V21" s="73" t="n"/>
    </row>
    <row r="22">
      <c r="A22" s="46" t="inlineStr">
        <is>
          <t>SL =</t>
        </is>
      </c>
      <c r="B22" s="35">
        <f>SUM(B8:B21)</f>
        <v/>
      </c>
      <c r="C22" s="37">
        <f>SUM(C7:C21)</f>
        <v/>
      </c>
      <c r="D22" s="37">
        <f>SUM(D7:D21)</f>
        <v/>
      </c>
      <c r="E22" s="37">
        <f>SUM(E7:E21)</f>
        <v/>
      </c>
      <c r="F22" s="37">
        <f>SUM(F7:F21)</f>
        <v/>
      </c>
      <c r="G22" s="37">
        <f>SUM(G7:G21)</f>
        <v/>
      </c>
      <c r="H22" s="37">
        <f>SUM(H7:H21)</f>
        <v/>
      </c>
      <c r="I22" s="37">
        <f>SUM(I7:I21)</f>
        <v/>
      </c>
      <c r="J22" s="37">
        <f>SUM(J7:J21)</f>
        <v/>
      </c>
      <c r="K22" s="37">
        <f>SUM(K8:K21)</f>
        <v/>
      </c>
      <c r="L22" s="37">
        <f>SUM(L8:L21)</f>
        <v/>
      </c>
      <c r="M22" s="37">
        <f>SUM(M8:M21)</f>
        <v/>
      </c>
      <c r="N22" s="37">
        <f>SUM(N8:N21)</f>
        <v/>
      </c>
      <c r="O22" s="38">
        <f>SUM(O15:O21)</f>
        <v/>
      </c>
      <c r="P22" s="39">
        <f>SUM(P8:P21)</f>
        <v/>
      </c>
      <c r="Q22" s="77" t="n"/>
      <c r="R22" s="78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V23" t="inlineStr">
        <is>
          <t xml:space="preserve"> </t>
        </is>
      </c>
    </row>
    <row r="24">
      <c r="A24" s="43" t="n"/>
      <c r="B24" s="43" t="n"/>
      <c r="C24" s="46" t="inlineStr">
        <is>
          <t xml:space="preserve">      2Dh =</t>
        </is>
      </c>
      <c r="D24" s="47">
        <f>C22-D22</f>
        <v/>
      </c>
      <c r="E24" s="46" t="inlineStr">
        <is>
          <t xml:space="preserve">      2Dh =</t>
        </is>
      </c>
      <c r="F24" s="47">
        <f>E22-F22</f>
        <v/>
      </c>
      <c r="G24" s="46" t="inlineStr">
        <is>
          <t xml:space="preserve">      2Dh =</t>
        </is>
      </c>
      <c r="H24" s="47">
        <f>G22-H22</f>
        <v/>
      </c>
      <c r="I24" s="46" t="inlineStr">
        <is>
          <t xml:space="preserve">     2Dh =</t>
        </is>
      </c>
      <c r="J24" s="47">
        <f>I22-J22</f>
        <v/>
      </c>
      <c r="K24" s="46" t="inlineStr">
        <is>
          <t xml:space="preserve">  2Dhср=</t>
        </is>
      </c>
      <c r="L24" s="47">
        <f>K22-L22</f>
        <v/>
      </c>
      <c r="M24" s="46" t="inlineStr">
        <is>
          <t xml:space="preserve">      Dh =</t>
        </is>
      </c>
      <c r="N24" s="48">
        <f>M22-N22</f>
        <v/>
      </c>
      <c r="O24" s="43" t="n"/>
      <c r="P24" s="46" t="inlineStr">
        <is>
          <t xml:space="preserve">       FDh   =</t>
        </is>
      </c>
      <c r="Q24" s="54">
        <f>-N24</f>
        <v/>
      </c>
      <c r="R24" s="49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50" t="inlineStr">
        <is>
          <t>Rкр-Rн=</t>
        </is>
      </c>
      <c r="N25" s="47">
        <f>(50.78327-50)*100000</f>
        <v/>
      </c>
      <c r="O25" s="43" t="n"/>
      <c r="P25" s="50" t="inlineStr">
        <is>
          <t xml:space="preserve">     Fдоп. =</t>
        </is>
      </c>
      <c r="Q25" s="79">
        <f> 6*(B22/1000)^0.5*100</f>
        <v/>
      </c>
      <c r="R25" s="80" t="n"/>
    </row>
    <row r="26"/>
    <row r="28">
      <c r="A28" s="15" t="inlineStr">
        <is>
          <t>Средна</t>
        </is>
      </c>
      <c r="B28" s="16" t="inlineStr">
        <is>
          <t>No</t>
        </is>
      </c>
      <c r="C28" s="52" t="inlineStr">
        <is>
          <t>PP1</t>
        </is>
      </c>
      <c r="D28" s="16" t="n">
        <v>2</v>
      </c>
      <c r="E28" s="16" t="n">
        <v>3</v>
      </c>
      <c r="F28" s="16" t="n">
        <v>4</v>
      </c>
      <c r="G28" s="16" t="n">
        <v>5</v>
      </c>
      <c r="H28" s="16" t="n">
        <v>6</v>
      </c>
      <c r="I28" s="16" t="n">
        <v>7</v>
      </c>
      <c r="J28" s="52" t="inlineStr">
        <is>
          <t>PP2</t>
        </is>
      </c>
    </row>
    <row r="29">
      <c r="A29" s="23" t="inlineStr">
        <is>
          <t>кота</t>
        </is>
      </c>
      <c r="B29" s="16" t="inlineStr">
        <is>
          <t>кота</t>
        </is>
      </c>
      <c r="C29" s="81">
        <f>Q14</f>
        <v/>
      </c>
      <c r="D29" s="75">
        <f>(Q13+Q15)/2</f>
        <v/>
      </c>
      <c r="E29" s="75">
        <f>(Q12+Q16)/2</f>
        <v/>
      </c>
      <c r="F29" s="75">
        <f>(Q11+Q17)/2</f>
        <v/>
      </c>
      <c r="G29" s="75">
        <f>(Q10+Q18)/2</f>
        <v/>
      </c>
      <c r="H29" s="75">
        <f>(Q9+Q19)/2</f>
        <v/>
      </c>
      <c r="I29" s="75">
        <f>(Q8+Q20)/2</f>
        <v/>
      </c>
      <c r="J29" s="81">
        <f>(Q7+Q21)/2</f>
        <v/>
      </c>
    </row>
    <row r="30">
      <c r="B30" s="5" t="n"/>
      <c r="C30" s="82" t="n"/>
      <c r="D30" s="73" t="n"/>
      <c r="E30" s="73" t="n"/>
      <c r="F30" s="73" t="n"/>
      <c r="G30" s="73" t="n"/>
      <c r="H30" s="73" t="n"/>
      <c r="I30" s="73" t="n"/>
      <c r="J30" s="82" t="n"/>
    </row>
    <row r="31">
      <c r="B31" s="73" t="n"/>
      <c r="C31" s="73" t="n"/>
      <c r="D31" s="73" t="n"/>
      <c r="E31" s="73" t="n"/>
      <c r="F31" s="73" t="n"/>
      <c r="I31" s="73" t="n"/>
    </row>
    <row r="32"/>
    <row r="33">
      <c r="C33" s="9" t="n"/>
    </row>
  </sheetData>
  <mergeCells count="9">
    <mergeCell ref="C4:J4"/>
    <mergeCell ref="C5:D5"/>
    <mergeCell ref="G5:H5"/>
    <mergeCell ref="E5:F5"/>
    <mergeCell ref="K5:L5"/>
    <mergeCell ref="I5:J5"/>
    <mergeCell ref="M5:N5"/>
    <mergeCell ref="K4:L4"/>
    <mergeCell ref="M4:N4"/>
  </mergeCells>
  <printOptions horizontalCentered="1"/>
  <pageMargins left="0.25" right="0.25" top="0.52" bottom="0.51" header="0.5" footer="0.5"/>
  <pageSetup orientation="landscape" paperSize="9" scale="95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</dc:creator>
  <dcterms:created xmlns:dcterms="http://purl.org/dc/terms/" xmlns:xsi="http://www.w3.org/2001/XMLSchema-instance" xsi:type="dcterms:W3CDTF">2003-10-16T10:42:13Z</dcterms:created>
  <dcterms:modified xmlns:dcterms="http://purl.org/dc/terms/" xmlns:xsi="http://www.w3.org/2001/XMLSchema-instance" xsi:type="dcterms:W3CDTF">2026-10-05T13:14:19Z</dcterms:modified>
  <cp:lastModifiedBy>LENOVO</cp:lastModifiedBy>
  <cp:lastPrinted>2015-12-09T06:41:21Z</cp:lastPrinted>
</cp:coreProperties>
</file>